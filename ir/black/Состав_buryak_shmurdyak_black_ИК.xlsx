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остав" sheetId="1" state="visible" r:id="rId3"/>
    <sheet name="Примечания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<sst xmlns="http://schemas.openxmlformats.org/spreadsheetml/2006/main" count="50" uniqueCount="43">
  <si>
    <t xml:space="preserve">Состав органической части образца buryak_shmurdyak_black (в пересчёте на 100 % органики)</t>
  </si>
  <si>
    <t xml:space="preserve">Оценка по ИК-спектроскопии (НПВО). ЯМР будет добавлен после получения спектров. Неорганический компонент в 100 % не входит.</t>
  </si>
  <si>
    <t xml:space="preserve">Образец</t>
  </si>
  <si>
    <t xml:space="preserve">Компонент</t>
  </si>
  <si>
    <t xml:space="preserve">ИК, %</t>
  </si>
  <si>
    <t xml:space="preserve">ЯМР, %</t>
  </si>
  <si>
    <t xml:space="preserve">Среднее по ИК и ЯМР, %</t>
  </si>
  <si>
    <t xml:space="preserve">Итог, % (сумма = 100)</t>
  </si>
  <si>
    <t xml:space="preserve">Диапазон, %</t>
  </si>
  <si>
    <t xml:space="preserve">Идентификация и комментарий</t>
  </si>
  <si>
    <t xml:space="preserve">Неорганическая часть (не входит в 100 %)</t>
  </si>
  <si>
    <t xml:space="preserve">buryak_shmurdyak_black</t>
  </si>
  <si>
    <t xml:space="preserve">Дибутилфталат (ДБФ)</t>
  </si>
  <si>
    <t xml:space="preserve">ожидается</t>
  </si>
  <si>
    <t xml:space="preserve">95–100</t>
  </si>
  <si>
    <t xml:space="preserve">Единственный обнаруженный органический компонент. ИК: C=O 1723 см⁻¹; дублет ароматики 1600/1580 см⁻¹; 1277, 1119, 1072 см⁻¹ (сложный эфир фталевой кислоты); 742 см⁻¹ (орто-замещённое кольцо); н-бутил — 2960, 1384, 962/941 см⁻¹. Длинноцепочечные фталаты (ДОФ) не подходят: нет сильной полосы 2858 см⁻¹. Отличить от диизобутилфталата окончательно — по ЯМР ¹H (4,30 т против 4,08 д м.д.).</t>
  </si>
  <si>
    <t xml:space="preserve">Чёрный неорганический компонент: рост поглощения M–O ниже 650 см⁻¹; предположительно диоксид марганца MnO₂. Количество — по зольности, металл — РФА.</t>
  </si>
  <si>
    <t xml:space="preserve">Прочие органические добавки (стеариновая кислота и др.)</t>
  </si>
  <si>
    <t xml:space="preserve">не обнаружено (&lt; 2–3 %)</t>
  </si>
  <si>
    <t xml:space="preserve">&lt; 3</t>
  </si>
  <si>
    <t xml:space="preserve">В типовых вулканизующих пастах ≈1 % стеариновой кислоты — ниже предела обнаружения ИК.</t>
  </si>
  <si>
    <t xml:space="preserve">Тиокол</t>
  </si>
  <si>
    <t xml:space="preserve">не обнаружен (&lt; 5 %)</t>
  </si>
  <si>
    <t xml:space="preserve">&lt; 5</t>
  </si>
  <si>
    <t xml:space="preserve">Нет полос формали 1024/949 см⁻¹, S–CH₂ 1410 см⁻¹ и SH 2560 см⁻¹. Образец — не основа герметика.</t>
  </si>
  <si>
    <t xml:space="preserve">Эпоксидная смола</t>
  </si>
  <si>
    <t xml:space="preserve">не обнаружена</t>
  </si>
  <si>
    <t xml:space="preserve">—</t>
  </si>
  <si>
    <t xml:space="preserve">Нет полос бисфенола А 1510, 1244, 831 см⁻¹.</t>
  </si>
  <si>
    <t xml:space="preserve">Хлорпарафин</t>
  </si>
  <si>
    <t xml:space="preserve">не обнаружен</t>
  </si>
  <si>
    <t xml:space="preserve">Нет отдельной полосы CHCl 1260–1270 см⁻¹ и прироста CH₂. Окончательно — по ЯМР ¹H (CHCl 3,8–4,5 м.д.).</t>
  </si>
  <si>
    <t xml:space="preserve">Полиуретан / лапрол</t>
  </si>
  <si>
    <t xml:space="preserve">не обнаружены</t>
  </si>
  <si>
    <t xml:space="preserve">Нет полос N–H и широкой полосы простого эфира.</t>
  </si>
  <si>
    <t xml:space="preserve">Сумма органической части</t>
  </si>
  <si>
    <t xml:space="preserve">Вывод: образец — вулканизующая паста для тиоколовых герметиков (тип пасты №9: диоксид марганца в дибутилфталате), а не тиоколовая основа.</t>
  </si>
  <si>
    <t xml:space="preserve">Итог = среднее по ИК и ЯМР, приведённое к сумме 100 %. До получения ЯМР итог равен оценке по ИК. Не обнаружено — содержание ниже предела обнаружения ИК (≈2–5 %).</t>
  </si>
  <si>
    <t xml:space="preserve">Примечания к оценке состава</t>
  </si>
  <si>
    <t xml:space="preserve">1. База пересчёта — 100 % органической части. Неорганический компонент исключён; его массовую долю ИК-методом определить нельзя (нужна зольность), природу металла — РФА.</t>
  </si>
  <si>
    <t xml:space="preserve">2. ИК: НПВО, алмазный кристалл, 4000–560 см⁻¹. Обработка та же, что для образцов buryak_1t, 2t, 1p, 2x; для проверки на тиокол спектр сопоставлен с чистым тиоколом buryak_1t.</t>
  </si>
  <si>
    <t xml:space="preserve">3. Пределы обнаружения ИК: тиокол ≈5 % (по полосе 1024 см⁻¹ на фоне полос ДБФ), прочие органические компоненты ≈2–3 %.</t>
  </si>
  <si>
    <t xml:space="preserve">4. ЯМР ¹H и ¹³C будет проведён дополнительно: подтверждение ДБФ (4,30 т, 7,5/7,7 м.д.), проверка на диизобутилфталат, хлорпарафин и стеариновую кислоту (2,35 т, 1,25 м.д.).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</si>
</sst>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70"/>
    <col collapsed="false" customWidth="true" hidden="false" outlineLevel="0" max="9" min="9" style="0" width="2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43.25" hidden="false" customHeight="true" outlineLevel="0" collapsed="false">
      <c r="A5" s="4" t="s">
        <v>11</v>
      </c>
      <c r="B5" s="5" t="s">
        <v>12</v>
      </c>
      <c r="C5" s="6" t="n">
        <v>100</v>
      </c>
      <c r="D5" s="7" t="s">
        <v>13</v>
      </c>
      <c r="E5" s="6" t="n">
        <f aca="false">IF(COUNT(C5:D5)=0,"—",AVERAGE(C5:D5))</f>
        <v>100</v>
      </c>
      <c r="F5" s="8" t="n">
        <f aca="false">IF(ISNUMBER(E5),E5/SUM($E$5:$E$10),"—")</f>
        <v>1</v>
      </c>
      <c r="G5" s="7" t="s">
        <v>14</v>
      </c>
      <c r="H5" s="5" t="s">
        <v>15</v>
      </c>
      <c r="I5" s="5" t="s">
        <v>16</v>
      </c>
    </row>
    <row r="6" customFormat="false" ht="22.35" hidden="false" customHeight="false" outlineLevel="0" collapsed="false">
      <c r="A6" s="4"/>
      <c r="B6" s="5" t="s">
        <v>17</v>
      </c>
      <c r="C6" s="6" t="s">
        <v>18</v>
      </c>
      <c r="D6" s="7" t="s">
        <v>13</v>
      </c>
      <c r="E6" s="6" t="str">
        <f aca="false">IF(COUNT(C6:D6)=0,"—",AVERAGE(C6:D6))</f>
        <v>—</v>
      </c>
      <c r="F6" s="8" t="str">
        <f aca="false">IF(ISNUMBER(E6),E6/SUM($E$5:$E$10),"—")</f>
        <v>—</v>
      </c>
      <c r="G6" s="7" t="s">
        <v>19</v>
      </c>
      <c r="H6" s="5" t="s">
        <v>20</v>
      </c>
      <c r="I6" s="5"/>
    </row>
    <row r="7" customFormat="false" ht="22.35" hidden="false" customHeight="false" outlineLevel="0" collapsed="false">
      <c r="A7" s="4"/>
      <c r="B7" s="5" t="s">
        <v>21</v>
      </c>
      <c r="C7" s="6" t="s">
        <v>22</v>
      </c>
      <c r="D7" s="7" t="s">
        <v>13</v>
      </c>
      <c r="E7" s="6" t="str">
        <f aca="false">IF(COUNT(C7:D7)=0,"—",AVERAGE(C7:D7))</f>
        <v>—</v>
      </c>
      <c r="F7" s="8" t="str">
        <f aca="false">IF(ISNUMBER(E7),E7/SUM($E$5:$E$10),"—")</f>
        <v>—</v>
      </c>
      <c r="G7" s="7" t="s">
        <v>23</v>
      </c>
      <c r="H7" s="5" t="s">
        <v>24</v>
      </c>
      <c r="I7" s="5"/>
    </row>
    <row r="8" customFormat="false" ht="15" hidden="false" customHeight="false" outlineLevel="0" collapsed="false">
      <c r="A8" s="4"/>
      <c r="B8" s="5" t="s">
        <v>25</v>
      </c>
      <c r="C8" s="6" t="s">
        <v>26</v>
      </c>
      <c r="D8" s="7" t="s">
        <v>13</v>
      </c>
      <c r="E8" s="6" t="str">
        <f aca="false">IF(COUNT(C8:D8)=0,"—",AVERAGE(C8:D8))</f>
        <v>—</v>
      </c>
      <c r="F8" s="8" t="str">
        <f aca="false">IF(ISNUMBER(E8),E8/SUM($E$5:$E$10),"—")</f>
        <v>—</v>
      </c>
      <c r="G8" s="7" t="s">
        <v>27</v>
      </c>
      <c r="H8" s="5" t="s">
        <v>28</v>
      </c>
      <c r="I8" s="5"/>
    </row>
    <row r="9" customFormat="false" ht="15" hidden="false" customHeight="false" outlineLevel="0" collapsed="false">
      <c r="A9" s="4"/>
      <c r="B9" s="5" t="s">
        <v>29</v>
      </c>
      <c r="C9" s="6" t="s">
        <v>30</v>
      </c>
      <c r="D9" s="7" t="s">
        <v>13</v>
      </c>
      <c r="E9" s="6" t="str">
        <f aca="false">IF(COUNT(C9:D9)=0,"—",AVERAGE(C9:D9))</f>
        <v>—</v>
      </c>
      <c r="F9" s="8" t="str">
        <f aca="false">IF(ISNUMBER(E9),E9/SUM($E$5:$E$10),"—")</f>
        <v>—</v>
      </c>
      <c r="G9" s="7" t="s">
        <v>27</v>
      </c>
      <c r="H9" s="5" t="s">
        <v>31</v>
      </c>
      <c r="I9" s="5"/>
    </row>
    <row r="10" customFormat="false" ht="15" hidden="false" customHeight="false" outlineLevel="0" collapsed="false">
      <c r="A10" s="4"/>
      <c r="B10" s="5" t="s">
        <v>32</v>
      </c>
      <c r="C10" s="6" t="s">
        <v>33</v>
      </c>
      <c r="D10" s="7" t="s">
        <v>13</v>
      </c>
      <c r="E10" s="6" t="str">
        <f aca="false">IF(COUNT(C10:D10)=0,"—",AVERAGE(C10:D10))</f>
        <v>—</v>
      </c>
      <c r="F10" s="8" t="str">
        <f aca="false">IF(ISNUMBER(E10),E10/SUM($E$5:$E$10),"—")</f>
        <v>—</v>
      </c>
      <c r="G10" s="7" t="s">
        <v>27</v>
      </c>
      <c r="H10" s="5" t="s">
        <v>34</v>
      </c>
      <c r="I10" s="5"/>
    </row>
    <row r="11" customFormat="false" ht="15" hidden="false" customHeight="false" outlineLevel="0" collapsed="false">
      <c r="A11" s="9"/>
      <c r="B11" s="9" t="s">
        <v>35</v>
      </c>
      <c r="C11" s="9"/>
      <c r="D11" s="9"/>
      <c r="E11" s="9"/>
      <c r="F11" s="10" t="n">
        <f aca="false">SUM(F5:F10)</f>
        <v>1</v>
      </c>
      <c r="G11" s="9"/>
      <c r="H11" s="9"/>
      <c r="I11" s="9"/>
    </row>
    <row r="13" customFormat="false" ht="15" hidden="false" customHeight="false" outlineLevel="0" collapsed="false">
      <c r="A13" s="11" t="s">
        <v>36</v>
      </c>
    </row>
    <row r="14" customFormat="false" ht="15" hidden="false" customHeight="false" outlineLevel="0" collapsed="false">
      <c r="A14" s="12" t="s">
        <v>37</v>
      </c>
    </row>
  </sheetData>
  <mergeCells count="2">
    <mergeCell ref="A5:A10"/>
    <mergeCell ref="I5:I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3" t="s">
        <v>38</v>
      </c>
    </row>
    <row r="2" customFormat="false" ht="23.85" hidden="false" customHeight="false" outlineLevel="0" collapsed="false">
      <c r="A2" s="14" t="s">
        <v>39</v>
      </c>
    </row>
    <row r="3" customFormat="false" ht="23.85" hidden="false" customHeight="false" outlineLevel="0" collapsed="false">
      <c r="A3" s="14" t="s">
        <v>40</v>
      </c>
    </row>
    <row r="4" customFormat="false" ht="15" hidden="false" customHeight="false" outlineLevel="0" collapsed="false">
      <c r="A4" s="14" t="s">
        <v>41</v>
      </c>
    </row>
    <row r="5" customFormat="false" ht="23.85" hidden="false" customHeight="false" outlineLevel="0" collapsed="false">
      <c r="A5" s="14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2026-10-30T18:23:16Z</dcterms:created>
  <dc:creator>openpyxl</dc:creator>
  <dc:description/>
  <dc:language>en-US</dc:language>
  <cp:lastModifiedBy/>
  <dcterms:modified xsi:type="dcterms:W3CDTF">2026-10-30T18:23:16Z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