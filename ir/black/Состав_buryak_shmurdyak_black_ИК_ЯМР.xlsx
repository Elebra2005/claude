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остав" sheetId="1" state="visible" r:id="rId3"/>
    <sheet name="Примечания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<sst xmlns="http://schemas.openxmlformats.org/spreadsheetml/2006/main" count="76" uniqueCount="54">
  <si>
    <t xml:space="preserve">Состав органической части образца buryak_shmurdyak_black (в пересчёте на 100 % органики), ИК + ЯМР</t>
  </si>
  <si>
    <t xml:space="preserve">ИК (НПВО) и ЯМР ¹H/¹³C (CDCl₃; в архиве ЯМР образец NVM-tk-BD). Неорганический компонент в 100 % не входит. Строки «в т.ч.» — расшифровка по ЯМР, в сумму не входят.</t>
  </si>
  <si>
    <t xml:space="preserve">Образец</t>
  </si>
  <si>
    <t xml:space="preserve">Компонент</t>
  </si>
  <si>
    <t xml:space="preserve">ИК, %</t>
  </si>
  <si>
    <t xml:space="preserve">ЯМР, %</t>
  </si>
  <si>
    <t xml:space="preserve">Среднее по ИК и ЯМР, %</t>
  </si>
  <si>
    <t xml:space="preserve">Итог, % (сумма = 100)</t>
  </si>
  <si>
    <t xml:space="preserve">Диапазон, %</t>
  </si>
  <si>
    <t xml:space="preserve">Идентификация и комментарий</t>
  </si>
  <si>
    <t xml:space="preserve">Неорганическая часть (не входит в 100 %)</t>
  </si>
  <si>
    <t xml:space="preserve">buryak_shmurdyak_black</t>
  </si>
  <si>
    <t xml:space="preserve">Фталатный пластификатор (технический ДБФ), сумма</t>
  </si>
  <si>
    <t xml:space="preserve">95–100</t>
  </si>
  <si>
    <t xml:space="preserve">ИК: C=O 1723; 1600/1580; 1277, 1119, 1072; 742 см⁻¹; н-бутил 2960, 1384, 962/941 см⁻¹ (ИК-оценка 95–100 %, в расчёт взята середина). ЯМР ¹H: 7,71/7,52 (аром.), 4,30 (OCH₂), 1,72, 1,45, 0,96 м.д. — соотношение интегралов совпадает с ДБФ; ¹³C: 167,8; 132,4; 131,0; 128,9; 65,7; 30,7; 19,3; 13,8 м.д.</t>
  </si>
  <si>
    <t xml:space="preserve">Чёрный неорганический компонент: рост поглощения M–O ниже 650 см⁻¹ (ИК); в ЯМР не виден (нерастворим). Предположительно диоксид марганца MnO₂. Количество — по зольности, металл — РФА.</t>
  </si>
  <si>
    <t xml:space="preserve">   в т.ч. дибутилфталат</t>
  </si>
  <si>
    <t xml:space="preserve">—</t>
  </si>
  <si>
    <t xml:space="preserve">Основное вещество.</t>
  </si>
  <si>
    <t xml:space="preserve">   в т.ч. метилбутилфталат (предположительно)</t>
  </si>
  <si>
    <t xml:space="preserve">¹H: синглет O–CH₃ 3,92 м.д. Обычная технологическая примесь технического ДБФ.</t>
  </si>
  <si>
    <t xml:space="preserve">   в т.ч. диизобутилфталат</t>
  </si>
  <si>
    <t xml:space="preserve">¹H: O–CH₂ 4,08 м.д. (следы).</t>
  </si>
  <si>
    <t xml:space="preserve">Полидиметилсилоксан (силикон)</t>
  </si>
  <si>
    <t xml:space="preserve">признаки (плечо 1257–1260, полоса ≈800 см⁻¹)</t>
  </si>
  <si>
    <t xml:space="preserve">1,5–3</t>
  </si>
  <si>
    <t xml:space="preserve">¹H: синглет Si–CH₃ 0,07 м.д.; ¹³C: 1,1 м.д. Силиконовая добавка (масло, антиадгезив, пеногаситель) либо загрязнение силиконовой смазкой при отборе пробы — проверить повторным отбором.</t>
  </si>
  <si>
    <t xml:space="preserve">Алифатические примеси</t>
  </si>
  <si>
    <t xml:space="preserve">не видны</t>
  </si>
  <si>
    <t xml:space="preserve">&lt; 1</t>
  </si>
  <si>
    <t xml:space="preserve">¹H: слабые сигналы 0,8–1,35 м.д.; природа не установлена.</t>
  </si>
  <si>
    <t xml:space="preserve">Тиокол</t>
  </si>
  <si>
    <t xml:space="preserve">не обнаружен (&lt; 5 %)</t>
  </si>
  <si>
    <t xml:space="preserve">не обнаружен (&lt; 1 %)</t>
  </si>
  <si>
    <t xml:space="preserve">ИК: нет 1024/949, 1410, 2560 см⁻¹. ЯМР: нет 4,70/3,72/2,89 м.д. и 95,5/66,2/38,9 м.д.</t>
  </si>
  <si>
    <t xml:space="preserve">Хлорпарафин</t>
  </si>
  <si>
    <t xml:space="preserve">не обнаружен</t>
  </si>
  <si>
    <t xml:space="preserve">ИК: нет CHCl 1260–1270 см⁻¹. ЯМР: нет CHCl 3,8–4,5 м.д. и 55–65 м.д.</t>
  </si>
  <si>
    <t xml:space="preserve">Стеариновая кислота</t>
  </si>
  <si>
    <t xml:space="preserve">ниже предела</t>
  </si>
  <si>
    <t xml:space="preserve">не обнаружена</t>
  </si>
  <si>
    <t xml:space="preserve">ЯМР: нет 2,35 м.д. и 180/34 м.д. Возможный стеарат марганца мог остаться в нерастворимом осадке.</t>
  </si>
  <si>
    <t xml:space="preserve">Эпоксидная смола, полиуретан, лапрол</t>
  </si>
  <si>
    <t xml:space="preserve">не обнаружены</t>
  </si>
  <si>
    <t xml:space="preserve">Нет характерных полос и сигналов.</t>
  </si>
  <si>
    <t xml:space="preserve">Сумма органической части</t>
  </si>
  <si>
    <t xml:space="preserve">Вывод: образец — вулканизующая паста для тиоколовых герметиков (тип пасты №9: диоксид марганца в дибутилфталате), а не тиоколовая основа.</t>
  </si>
  <si>
    <t xml:space="preserve">Итог = среднее по ИК и ЯМР, приведённое к сумме 100 %. Если компонент количественно определён одним методом, взято значение этого метода. Пределы обнаружения: ИК ≈2–5 %, ЯМР ¹H ≈0,5–1 %.</t>
  </si>
  <si>
    <t xml:space="preserve">Примечания к оценке состава</t>
  </si>
  <si>
    <t xml:space="preserve">1. База пересчёта — 100 % органической части. Неорганический компонент исключён: в ЯМР он не виден, массовую долю даёт зольность, природу металла — РФА.</t>
  </si>
  <si>
    <t xml:space="preserve">2. ИК: НПВО, алмазный кристалл, 4000–560 см⁻¹; сопоставление с чистым тиоколом buryak_1t.</t>
  </si>
  <si>
    <t xml:space="preserve">3. ЯМР: Bruker 600 МГц, CDCl₃. ¹H — zg, 1 накопление (количественный режим); состав рассчитан по интегралам, на 1 молекулу ДБФ — 4 H сигнала O–CH₂ (4,30 м.д.). ¹³C — zgpg30, 1024 накопления (качественно). Калибровка: CHCl₃ 7,26 м.д., CDCl₃ 77,16 м.д.</t>
  </si>
  <si>
    <t xml:space="preserve">4. ИК не различает ДБФ и его гомологи (метилбутил-, диизобутилфталат); их доли — только по ЯМР.</t>
  </si>
  <si>
    <t xml:space="preserve">5. Силикон ≈2 %: требует проверки повторным отбором пробы без силиконовой смазки — возможна контаминация.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</si>
</sst>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70"/>
    <col collapsed="false" customWidth="true" hidden="false" outlineLevel="0" max="9" min="9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43.25" hidden="false" customHeight="true" outlineLevel="0" collapsed="false">
      <c r="A5" s="4" t="s">
        <v>11</v>
      </c>
      <c r="B5" s="5" t="s">
        <v>12</v>
      </c>
      <c r="C5" s="6" t="n">
        <v>97.5</v>
      </c>
      <c r="D5" s="6" t="n">
        <v>97.2</v>
      </c>
      <c r="E5" s="6" t="n">
        <f aca="false">IF(COUNT(C5:D5)=0,"—",AVERAGE(C5:D5))</f>
        <v>97.35</v>
      </c>
      <c r="F5" s="7" t="n">
        <f aca="false">E5/SUM($E$5,$E$9,$E$10)</f>
        <v>0.971556886227545</v>
      </c>
      <c r="G5" s="8" t="s">
        <v>13</v>
      </c>
      <c r="H5" s="5" t="s">
        <v>14</v>
      </c>
      <c r="I5" s="5" t="s">
        <v>15</v>
      </c>
    </row>
    <row r="6" customFormat="false" ht="15" hidden="false" customHeight="false" outlineLevel="0" collapsed="false">
      <c r="A6" s="4"/>
      <c r="B6" s="5" t="s">
        <v>16</v>
      </c>
      <c r="C6" s="6" t="s">
        <v>17</v>
      </c>
      <c r="D6" s="6" t="n">
        <v>94.5</v>
      </c>
      <c r="E6" s="6" t="s">
        <v>17</v>
      </c>
      <c r="F6" s="7" t="s">
        <v>17</v>
      </c>
      <c r="G6" s="8"/>
      <c r="H6" s="5" t="s">
        <v>18</v>
      </c>
      <c r="I6" s="5"/>
    </row>
    <row r="7" customFormat="false" ht="22.35" hidden="false" customHeight="false" outlineLevel="0" collapsed="false">
      <c r="A7" s="4"/>
      <c r="B7" s="5" t="s">
        <v>19</v>
      </c>
      <c r="C7" s="6" t="s">
        <v>17</v>
      </c>
      <c r="D7" s="6" t="n">
        <v>2.3</v>
      </c>
      <c r="E7" s="6" t="s">
        <v>17</v>
      </c>
      <c r="F7" s="7" t="s">
        <v>17</v>
      </c>
      <c r="G7" s="8"/>
      <c r="H7" s="5" t="s">
        <v>20</v>
      </c>
      <c r="I7" s="5"/>
    </row>
    <row r="8" customFormat="false" ht="15" hidden="false" customHeight="false" outlineLevel="0" collapsed="false">
      <c r="A8" s="4"/>
      <c r="B8" s="5" t="s">
        <v>21</v>
      </c>
      <c r="C8" s="6" t="s">
        <v>17</v>
      </c>
      <c r="D8" s="6" t="n">
        <v>0.5</v>
      </c>
      <c r="E8" s="6" t="s">
        <v>17</v>
      </c>
      <c r="F8" s="7" t="s">
        <v>17</v>
      </c>
      <c r="G8" s="8"/>
      <c r="H8" s="5" t="s">
        <v>22</v>
      </c>
      <c r="I8" s="5"/>
    </row>
    <row r="9" customFormat="false" ht="43.25" hidden="false" customHeight="false" outlineLevel="0" collapsed="false">
      <c r="A9" s="4"/>
      <c r="B9" s="5" t="s">
        <v>23</v>
      </c>
      <c r="C9" s="6" t="s">
        <v>24</v>
      </c>
      <c r="D9" s="6" t="n">
        <v>2.2</v>
      </c>
      <c r="E9" s="6" t="n">
        <f aca="false">IF(COUNT(C9:D9)=0,"—",AVERAGE(C9:D9))</f>
        <v>2.2</v>
      </c>
      <c r="F9" s="7" t="n">
        <f aca="false">E9/SUM($E$5,$E$9,$E$10)</f>
        <v>0.0219560878243513</v>
      </c>
      <c r="G9" s="8" t="s">
        <v>25</v>
      </c>
      <c r="H9" s="5" t="s">
        <v>26</v>
      </c>
      <c r="I9" s="5"/>
    </row>
    <row r="10" customFormat="false" ht="15" hidden="false" customHeight="false" outlineLevel="0" collapsed="false">
      <c r="A10" s="4"/>
      <c r="B10" s="5" t="s">
        <v>27</v>
      </c>
      <c r="C10" s="6" t="s">
        <v>28</v>
      </c>
      <c r="D10" s="6" t="n">
        <v>0.65</v>
      </c>
      <c r="E10" s="6" t="n">
        <f aca="false">IF(COUNT(C10:D10)=0,"—",AVERAGE(C10:D10))</f>
        <v>0.65</v>
      </c>
      <c r="F10" s="7" t="n">
        <f aca="false">E10/SUM($E$5,$E$9,$E$10)</f>
        <v>0.00648702594810379</v>
      </c>
      <c r="G10" s="8" t="s">
        <v>29</v>
      </c>
      <c r="H10" s="5" t="s">
        <v>30</v>
      </c>
      <c r="I10" s="5"/>
    </row>
    <row r="11" customFormat="false" ht="32.8" hidden="false" customHeight="false" outlineLevel="0" collapsed="false">
      <c r="A11" s="4"/>
      <c r="B11" s="5" t="s">
        <v>31</v>
      </c>
      <c r="C11" s="6" t="s">
        <v>32</v>
      </c>
      <c r="D11" s="6" t="s">
        <v>33</v>
      </c>
      <c r="E11" s="6" t="s">
        <v>17</v>
      </c>
      <c r="F11" s="7" t="s">
        <v>17</v>
      </c>
      <c r="G11" s="8" t="s">
        <v>17</v>
      </c>
      <c r="H11" s="5" t="s">
        <v>34</v>
      </c>
      <c r="I11" s="5"/>
    </row>
    <row r="12" customFormat="false" ht="22.35" hidden="false" customHeight="false" outlineLevel="0" collapsed="false">
      <c r="A12" s="4"/>
      <c r="B12" s="5" t="s">
        <v>35</v>
      </c>
      <c r="C12" s="6" t="s">
        <v>36</v>
      </c>
      <c r="D12" s="6" t="s">
        <v>36</v>
      </c>
      <c r="E12" s="6" t="s">
        <v>17</v>
      </c>
      <c r="F12" s="7" t="s">
        <v>17</v>
      </c>
      <c r="G12" s="8" t="s">
        <v>17</v>
      </c>
      <c r="H12" s="5" t="s">
        <v>37</v>
      </c>
      <c r="I12" s="5"/>
    </row>
    <row r="13" customFormat="false" ht="22.35" hidden="false" customHeight="false" outlineLevel="0" collapsed="false">
      <c r="A13" s="4"/>
      <c r="B13" s="5" t="s">
        <v>38</v>
      </c>
      <c r="C13" s="6" t="s">
        <v>39</v>
      </c>
      <c r="D13" s="6" t="s">
        <v>40</v>
      </c>
      <c r="E13" s="6" t="s">
        <v>17</v>
      </c>
      <c r="F13" s="7" t="s">
        <v>17</v>
      </c>
      <c r="G13" s="8" t="s">
        <v>17</v>
      </c>
      <c r="H13" s="5" t="s">
        <v>41</v>
      </c>
      <c r="I13" s="5"/>
    </row>
    <row r="14" customFormat="false" ht="22.35" hidden="false" customHeight="false" outlineLevel="0" collapsed="false">
      <c r="A14" s="4"/>
      <c r="B14" s="5" t="s">
        <v>42</v>
      </c>
      <c r="C14" s="6" t="s">
        <v>43</v>
      </c>
      <c r="D14" s="6" t="s">
        <v>43</v>
      </c>
      <c r="E14" s="6" t="s">
        <v>17</v>
      </c>
      <c r="F14" s="7" t="s">
        <v>17</v>
      </c>
      <c r="G14" s="8" t="s">
        <v>17</v>
      </c>
      <c r="H14" s="5" t="s">
        <v>44</v>
      </c>
      <c r="I14" s="5"/>
    </row>
    <row r="15" customFormat="false" ht="15" hidden="false" customHeight="false" outlineLevel="0" collapsed="false">
      <c r="A15" s="9"/>
      <c r="B15" s="9" t="s">
        <v>45</v>
      </c>
      <c r="C15" s="9"/>
      <c r="D15" s="9"/>
      <c r="E15" s="9"/>
      <c r="F15" s="10" t="n">
        <f aca="false">SUM(F5,F9,F10)</f>
        <v>1</v>
      </c>
      <c r="G15" s="9"/>
      <c r="H15" s="9"/>
      <c r="I15" s="9"/>
    </row>
    <row r="17" customFormat="false" ht="15" hidden="false" customHeight="false" outlineLevel="0" collapsed="false">
      <c r="A17" s="11" t="s">
        <v>46</v>
      </c>
    </row>
    <row r="18" customFormat="false" ht="15" hidden="false" customHeight="false" outlineLevel="0" collapsed="false">
      <c r="A18" s="12" t="s">
        <v>47</v>
      </c>
    </row>
  </sheetData>
  <mergeCells count="2">
    <mergeCell ref="A5:A14"/>
    <mergeCell ref="I5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3" t="s">
        <v>48</v>
      </c>
    </row>
    <row r="2" customFormat="false" ht="23.85" hidden="false" customHeight="false" outlineLevel="0" collapsed="false">
      <c r="A2" s="14" t="s">
        <v>49</v>
      </c>
    </row>
    <row r="3" customFormat="false" ht="15" hidden="false" customHeight="false" outlineLevel="0" collapsed="false">
      <c r="A3" s="14" t="s">
        <v>50</v>
      </c>
    </row>
    <row r="4" customFormat="false" ht="23.85" hidden="false" customHeight="false" outlineLevel="0" collapsed="false">
      <c r="A4" s="14" t="s">
        <v>51</v>
      </c>
    </row>
    <row r="5" customFormat="false" ht="15" hidden="false" customHeight="false" outlineLevel="0" collapsed="false">
      <c r="A5" s="14" t="s">
        <v>52</v>
      </c>
    </row>
    <row r="6" customFormat="false" ht="15" hidden="false" customHeight="false" outlineLevel="0" collapsed="false">
      <c r="A6" s="14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2026-10-31T11:31:41Z</dcterms:created>
  <dc:creator>openpyxl</dc:creator>
  <dc:description/>
  <dc:language>en-US</dc:language>
  <cp:lastModifiedBy/>
  <dcterms:modified xsi:type="dcterms:W3CDTF">2026-10-31T11:31:41Z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