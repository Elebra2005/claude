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став" sheetId="1" state="visible" r:id="rId3"/>
    <sheet name="Примечания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<sst xmlns="http://schemas.openxmlformats.org/spreadsheetml/2006/main" count="58" uniqueCount="49">
  <si>
    <t xml:space="preserve">Состав органической части образцов жидких тиоколов (в пересчёте на 100 % органики)</t>
  </si>
  <si>
    <t xml:space="preserve">Оценка по ИК-спектроскопии (4 образца) и ЯМР ¹H/¹³C (образцы 1p и 2x). TiO₂ в 100 % не входит и указан отдельно. Подробности — на листе «Примечания».</t>
  </si>
  <si>
    <t xml:space="preserve">Образец</t>
  </si>
  <si>
    <t xml:space="preserve">Компонент</t>
  </si>
  <si>
    <t xml:space="preserve">ИК, %</t>
  </si>
  <si>
    <t xml:space="preserve">ЯМР, %</t>
  </si>
  <si>
    <t xml:space="preserve">Среднее по ИК и ЯМР, %</t>
  </si>
  <si>
    <t xml:space="preserve">Итог, % (сумма = 100)</t>
  </si>
  <si>
    <t xml:space="preserve">Диапазон, %</t>
  </si>
  <si>
    <t xml:space="preserve">Идентификация и комментарий</t>
  </si>
  <si>
    <t xml:space="preserve">Неорганическая часть (не входит в 100 %)</t>
  </si>
  <si>
    <t xml:space="preserve">buryak_1t</t>
  </si>
  <si>
    <t xml:space="preserve">Тиокол (диэтилформальный полисульфид с концевыми SH)</t>
  </si>
  <si>
    <t xml:space="preserve">не проводился</t>
  </si>
  <si>
    <t xml:space="preserve">100</t>
  </si>
  <si>
    <t xml:space="preserve">Основа — диэтилформальный полисульфидный олигомер (ИК: 1024, 949, 1410, 1283 см⁻¹; SH 2562 см⁻¹). Добавок не обнаружено (предел обнаружения ≈1–3 %). Чистый жидкий тиокол.</t>
  </si>
  <si>
    <t xml:space="preserve">не обнаружена</t>
  </si>
  <si>
    <t xml:space="preserve">Сумма органической части</t>
  </si>
  <si>
    <t xml:space="preserve">buryak_2t</t>
  </si>
  <si>
    <t xml:space="preserve">Совпадает с 1t по всем полосам. Полоса SH примерно в 1,6 раза слабее, чем у 1t, — вероятно, марка с большей молекулярной массой. Добавок не обнаружено.</t>
  </si>
  <si>
    <t xml:space="preserve">buryak_1p</t>
  </si>
  <si>
    <t xml:space="preserve">97–99</t>
  </si>
  <si>
    <t xml:space="preserve">Основа та же, что у 1t (серия «1» по содержанию SH). ЯМР: 4,70 / 3,72 / 2,89 м.д.; 95,5 / 66,2 / 38,9 м.д.; соотношение 2,00 : 4,28 : 3,88 при теоретическом 2 : 4 : 4. В ЯМР других компонентов не выявлено.</t>
  </si>
  <si>
    <t xml:space="preserve">TiO₂, ≈10–12 об. % (по ИК; подтверждено заказчиком)</t>
  </si>
  <si>
    <t xml:space="preserve">Неопознанная добавка (предположительно азотсодержащий промотор адгезии)</t>
  </si>
  <si>
    <t xml:space="preserve">не обнаружено (&lt; 2 %)</t>
  </si>
  <si>
    <t xml:space="preserve">1–3</t>
  </si>
  <si>
    <t xml:space="preserve">ИК: полоса 1684 см⁻¹ с плечом 1660 см⁻¹ — группа C=O или C=N без N–H (нет амида II ~1550 см⁻¹). Свободный первичный амин маловероятен: нет полос NH₂ 1600 и 3370/3290 см⁻¹. Дополнительно: широкая подложка 1000–1160 см⁻¹ (возможно Si–O–Si), лишние CH₂ 2840–2940 см⁻¹, OH около 3400 см⁻¹. Наиболее вероятно — силановый промотор адгезии к металлу: изоциануратный силан (трис(триметоксисилилпропил)изоцианурат) или кетиминный (блокированный аминосилан). Меркаптосилан один полосу 1684 не объясняет. Для подтверждения нужен ЯМР ¹H в области 0,5–0,8 м.д. (Si–CH₂). Содержание — по ИК.</t>
  </si>
  <si>
    <t xml:space="preserve">buryak_2x</t>
  </si>
  <si>
    <t xml:space="preserve">77–85</t>
  </si>
  <si>
    <t xml:space="preserve">Основа — диэтилформальный тиокол (серия «2» по содержанию SH, как у 2t). Значение по ЯМР рассчитано из отношения смола : тиокол = 12,2 : 87,8 с учётом содержания эфира по ИК.</t>
  </si>
  <si>
    <t xml:space="preserve">TiO₂, ≈7 об. % (по ИК)</t>
  </si>
  <si>
    <t xml:space="preserve">Эпоксидная смола на бисфеноле А (тип ЭД-20 / ЭД-16)</t>
  </si>
  <si>
    <t xml:space="preserve">11–19</t>
  </si>
  <si>
    <t xml:space="preserve">ИК: 1608, 1582, 1510, 1244, 1182, 831 см⁻¹. ЯМР: ароматические H 6,82 / 7,12 м.д.; ¹³C 156,4 / 127,8 / 114,0 / 31,8 м.д. Эпоксидные группы в основном сохранены (¹³C 50,2 / 44,8 м.д.). Избыток сигналов при 3,6–3,7 м.д. и бутильные сигналы допускают примесь алифатического глицидилового эфира (активного разбавителя) — требует проверки.</t>
  </si>
  <si>
    <t xml:space="preserve">Сложный эфир уксусной кислоты (предположительно бутилацетат)</t>
  </si>
  <si>
    <t xml:space="preserve">есть, количественно не оценивался</t>
  </si>
  <si>
    <t xml:space="preserve">3–7</t>
  </si>
  <si>
    <t xml:space="preserve">ИК: C=O 1737 см⁻¹. ЯМР ¹³C: 171,0 и 20,9 м.д. (ацетат), 19,1 и 13,7 м.д. (бутильный радикал). Эфиры дикарбоновых кислот (ДОС, ДБС) и ДБФ не обнаружены. Вероятно, растворитель (летучий), а не пластификатор. Содержание — по ИК.</t>
  </si>
  <si>
    <t xml:space="preserve">Итог = среднее по ИК и ЯМР, приведённое к сумме 100 %. Если компонент виден только одним методом, используется значение этого метода. Погрешность оценок для минорных компонентов — до ±30 % отн.</t>
  </si>
  <si>
    <t xml:space="preserve">Не обнаружены ни в одном образце: дибутилфталат, хлорпарафины, полиуретаны, лапролы (простые полиэфиры).</t>
  </si>
  <si>
    <t xml:space="preserve">Примечания к оценке состава</t>
  </si>
  <si>
    <t xml:space="preserve">1. База пересчёта. Проценты приведены к 100 % органической части. Диоксид титана (TiO₂) исключён и указан отдельно; его массовую долю ИК-методом определить нельзя — нужны зольность или РФА.</t>
  </si>
  <si>
    <t xml:space="preserve">2. ИК (НПВО, алмазный кристалл, 4000–560 см⁻¹). Доля тиокола — по разностным спектрам относительно чистого тиокола 1t (полосы 949 и 1410 см⁻¹). Эпоксидная смола — по полосам 1510 и 1244 см⁻¹, эфир — по C=O 1737 см⁻¹, без калибровочных смесей.</t>
  </si>
  <si>
    <t xml:space="preserve">3. ЯМР ¹H (700 МГц) и ¹³C (176 МГц), CDCl₃, только образцы 1p и 2x. Эпоксидная смола — по отношению интегралов ароматических H бисфенола А к ацетальному сигналу тиокола (4,70 м.д.), молярная масса смолы принята 340 г/моль; для ЭД-20 значение может быть на 1–2 пункта выше. Спектр ¹³C снят не в количественном режиме.</t>
  </si>
  <si>
    <t xml:space="preserve">4. 1t и 2t исследованы только ИК-методом; ЯМР не проводился.</t>
  </si>
  <si>
    <t xml:space="preserve">5. Предел обнаружения: ДБФ ≈1 %, остальные компоненты ≈2–3 % (ИК). Добавка в 1p (≈1–2 %) в показанных диапазонах ЯМР ниже предела обнаружения.</t>
  </si>
  <si>
    <t xml:space="preserve">6. Для подтверждения природы добавки в 1p рекомендуется: ЯМР ¹H 1p в области 0,4–2 м.д. (Si–CH₂ 0,5–0,8 м.д.) и 3,5–3,9 м.д. (Si–OCH₃, N–CH₂); ¹³C с D1 = 5 с и 8–16 тыс. накоплений (C=O изоцианурата ≈149 м.д., C=N 160–170 м.д.); РФА на Si и N.</t>
  </si>
  <si>
    <t xml:space="preserve">7. Эпоксидная смола в 2x: для точного содержания — калибровка по смесям 1t с ЭД-20 (10, 15, 20 %).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</si>
</sst>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70"/>
    <col collapsed="false" customWidth="true" hidden="false" outlineLevel="0" max="9" min="9" style="0" width="2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2.35" hidden="false" customHeight="false" outlineLevel="0" collapsed="false">
      <c r="A5" s="4" t="s">
        <v>11</v>
      </c>
      <c r="B5" s="5" t="s">
        <v>12</v>
      </c>
      <c r="C5" s="6" t="n">
        <v>100</v>
      </c>
      <c r="D5" s="7" t="s">
        <v>13</v>
      </c>
      <c r="E5" s="6" t="n">
        <f aca="false">IFERROR(AVERAGE(C5:D5),"")</f>
        <v>100</v>
      </c>
      <c r="F5" s="8" t="n">
        <f aca="false">E5/SUM($E$5:$E$5)</f>
        <v>1</v>
      </c>
      <c r="G5" s="7" t="s">
        <v>14</v>
      </c>
      <c r="H5" s="5" t="s">
        <v>15</v>
      </c>
      <c r="I5" s="5" t="s">
        <v>16</v>
      </c>
    </row>
    <row r="6" customFormat="false" ht="15" hidden="false" customHeight="false" outlineLevel="0" collapsed="false">
      <c r="A6" s="9"/>
      <c r="B6" s="9" t="s">
        <v>17</v>
      </c>
      <c r="C6" s="10"/>
      <c r="D6" s="10"/>
      <c r="E6" s="11"/>
      <c r="F6" s="12" t="n">
        <f aca="false">SUM(F5:F5)</f>
        <v>1</v>
      </c>
      <c r="G6" s="10"/>
      <c r="H6" s="9"/>
      <c r="I6" s="9"/>
    </row>
    <row r="7" customFormat="false" ht="22.35" hidden="false" customHeight="false" outlineLevel="0" collapsed="false">
      <c r="A7" s="4" t="s">
        <v>18</v>
      </c>
      <c r="B7" s="5" t="s">
        <v>12</v>
      </c>
      <c r="C7" s="6" t="n">
        <v>100</v>
      </c>
      <c r="D7" s="7" t="s">
        <v>13</v>
      </c>
      <c r="E7" s="6" t="n">
        <f aca="false">IFERROR(AVERAGE(C7:D7),"")</f>
        <v>100</v>
      </c>
      <c r="F7" s="8" t="n">
        <f aca="false">E7/SUM($E$7:$E$7)</f>
        <v>1</v>
      </c>
      <c r="G7" s="7" t="s">
        <v>14</v>
      </c>
      <c r="H7" s="5" t="s">
        <v>19</v>
      </c>
      <c r="I7" s="5" t="s">
        <v>16</v>
      </c>
    </row>
    <row r="8" customFormat="false" ht="15" hidden="false" customHeight="false" outlineLevel="0" collapsed="false">
      <c r="A8" s="9"/>
      <c r="B8" s="9" t="s">
        <v>17</v>
      </c>
      <c r="C8" s="10"/>
      <c r="D8" s="10"/>
      <c r="E8" s="11"/>
      <c r="F8" s="12" t="n">
        <f aca="false">SUM(F7:F7)</f>
        <v>1</v>
      </c>
      <c r="G8" s="10"/>
      <c r="H8" s="9"/>
      <c r="I8" s="9"/>
    </row>
    <row r="9" customFormat="false" ht="22.35" hidden="false" customHeight="true" outlineLevel="0" collapsed="false">
      <c r="A9" s="4" t="s">
        <v>20</v>
      </c>
      <c r="B9" s="5" t="s">
        <v>12</v>
      </c>
      <c r="C9" s="6" t="n">
        <v>98.3</v>
      </c>
      <c r="D9" s="6" t="n">
        <v>100</v>
      </c>
      <c r="E9" s="6" t="n">
        <f aca="false">IFERROR(AVERAGE(C9:D9),"")</f>
        <v>99.15</v>
      </c>
      <c r="F9" s="8" t="n">
        <f aca="false">E9/SUM($E$9:$E$10)</f>
        <v>0.983143282102132</v>
      </c>
      <c r="G9" s="7" t="s">
        <v>21</v>
      </c>
      <c r="H9" s="5" t="s">
        <v>22</v>
      </c>
      <c r="I9" s="5" t="s">
        <v>23</v>
      </c>
    </row>
    <row r="10" customFormat="false" ht="64.15" hidden="false" customHeight="false" outlineLevel="0" collapsed="false">
      <c r="A10" s="4"/>
      <c r="B10" s="5" t="s">
        <v>24</v>
      </c>
      <c r="C10" s="6" t="n">
        <v>1.7</v>
      </c>
      <c r="D10" s="7" t="s">
        <v>25</v>
      </c>
      <c r="E10" s="6" t="n">
        <f aca="false">IFERROR(AVERAGE(C10:D10),"")</f>
        <v>1.7</v>
      </c>
      <c r="F10" s="8" t="n">
        <f aca="false">E10/SUM($E$9:$E$10)</f>
        <v>0.0168567178978681</v>
      </c>
      <c r="G10" s="7" t="s">
        <v>26</v>
      </c>
      <c r="H10" s="5" t="s">
        <v>27</v>
      </c>
      <c r="I10" s="5"/>
    </row>
    <row r="11" customFormat="false" ht="15" hidden="false" customHeight="false" outlineLevel="0" collapsed="false">
      <c r="A11" s="9"/>
      <c r="B11" s="9" t="s">
        <v>17</v>
      </c>
      <c r="C11" s="10"/>
      <c r="D11" s="10"/>
      <c r="E11" s="11"/>
      <c r="F11" s="12" t="n">
        <f aca="false">SUM(F9:F10)</f>
        <v>1</v>
      </c>
      <c r="G11" s="10"/>
      <c r="H11" s="9"/>
      <c r="I11" s="9"/>
    </row>
    <row r="12" customFormat="false" ht="22.35" hidden="false" customHeight="true" outlineLevel="0" collapsed="false">
      <c r="A12" s="4" t="s">
        <v>28</v>
      </c>
      <c r="B12" s="5" t="s">
        <v>12</v>
      </c>
      <c r="C12" s="6" t="n">
        <v>78.3</v>
      </c>
      <c r="D12" s="6" t="n">
        <v>83.1</v>
      </c>
      <c r="E12" s="6" t="n">
        <f aca="false">IFERROR(AVERAGE(C12:D12),"")</f>
        <v>80.7</v>
      </c>
      <c r="F12" s="8" t="n">
        <f aca="false">E12/SUM($E$12:$E$14)</f>
        <v>0.807</v>
      </c>
      <c r="G12" s="7" t="s">
        <v>29</v>
      </c>
      <c r="H12" s="5" t="s">
        <v>30</v>
      </c>
      <c r="I12" s="5" t="s">
        <v>31</v>
      </c>
    </row>
    <row r="13" customFormat="false" ht="43.25" hidden="false" customHeight="false" outlineLevel="0" collapsed="false">
      <c r="A13" s="4"/>
      <c r="B13" s="5" t="s">
        <v>32</v>
      </c>
      <c r="C13" s="6" t="n">
        <v>16.3</v>
      </c>
      <c r="D13" s="6" t="n">
        <v>11.5</v>
      </c>
      <c r="E13" s="6" t="n">
        <f aca="false">IFERROR(AVERAGE(C13:D13),"")</f>
        <v>13.9</v>
      </c>
      <c r="F13" s="8" t="n">
        <f aca="false">E13/SUM($E$12:$E$14)</f>
        <v>0.139</v>
      </c>
      <c r="G13" s="7" t="s">
        <v>33</v>
      </c>
      <c r="H13" s="5" t="s">
        <v>34</v>
      </c>
      <c r="I13" s="5"/>
    </row>
    <row r="14" customFormat="false" ht="32.8" hidden="false" customHeight="false" outlineLevel="0" collapsed="false">
      <c r="A14" s="4"/>
      <c r="B14" s="5" t="s">
        <v>35</v>
      </c>
      <c r="C14" s="6" t="n">
        <v>5.4</v>
      </c>
      <c r="D14" s="7" t="s">
        <v>36</v>
      </c>
      <c r="E14" s="6" t="n">
        <f aca="false">IFERROR(AVERAGE(C14:D14),"")</f>
        <v>5.4</v>
      </c>
      <c r="F14" s="8" t="n">
        <f aca="false">E14/SUM($E$12:$E$14)</f>
        <v>0.054</v>
      </c>
      <c r="G14" s="7" t="s">
        <v>37</v>
      </c>
      <c r="H14" s="5" t="s">
        <v>38</v>
      </c>
      <c r="I14" s="5"/>
    </row>
    <row r="15" customFormat="false" ht="15" hidden="false" customHeight="false" outlineLevel="0" collapsed="false">
      <c r="A15" s="9"/>
      <c r="B15" s="9" t="s">
        <v>17</v>
      </c>
      <c r="C15" s="10"/>
      <c r="D15" s="10"/>
      <c r="E15" s="11"/>
      <c r="F15" s="12" t="n">
        <f aca="false">SUM(F12:F14)</f>
        <v>1</v>
      </c>
      <c r="G15" s="10"/>
      <c r="H15" s="9"/>
      <c r="I15" s="9"/>
    </row>
    <row r="17" customFormat="false" ht="15" hidden="false" customHeight="false" outlineLevel="0" collapsed="false">
      <c r="A17" s="13" t="s">
        <v>39</v>
      </c>
    </row>
    <row r="18" customFormat="false" ht="15" hidden="false" customHeight="false" outlineLevel="0" collapsed="false">
      <c r="A18" s="13" t="s">
        <v>40</v>
      </c>
    </row>
  </sheetData>
  <mergeCells count="4">
    <mergeCell ref="A9:A10"/>
    <mergeCell ref="I9:I10"/>
    <mergeCell ref="A12:A14"/>
    <mergeCell ref="I12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4" t="s">
        <v>41</v>
      </c>
    </row>
    <row r="2" customFormat="false" ht="23.85" hidden="false" customHeight="false" outlineLevel="0" collapsed="false">
      <c r="A2" s="15" t="s">
        <v>42</v>
      </c>
    </row>
    <row r="3" customFormat="false" ht="23.85" hidden="false" customHeight="false" outlineLevel="0" collapsed="false">
      <c r="A3" s="15" t="s">
        <v>43</v>
      </c>
    </row>
    <row r="4" customFormat="false" ht="23.85" hidden="false" customHeight="false" outlineLevel="0" collapsed="false">
      <c r="A4" s="15" t="s">
        <v>44</v>
      </c>
    </row>
    <row r="5" customFormat="false" ht="15" hidden="false" customHeight="false" outlineLevel="0" collapsed="false">
      <c r="A5" s="15" t="s">
        <v>45</v>
      </c>
    </row>
    <row r="6" customFormat="false" ht="15" hidden="false" customHeight="false" outlineLevel="0" collapsed="false">
      <c r="A6" s="15" t="s">
        <v>46</v>
      </c>
    </row>
    <row r="7" customFormat="false" ht="23.85" hidden="false" customHeight="false" outlineLevel="0" collapsed="false">
      <c r="A7" s="15" t="s">
        <v>47</v>
      </c>
    </row>
    <row r="8" customFormat="false" ht="15" hidden="false" customHeight="false" outlineLevel="0" collapsed="false">
      <c r="A8" s="1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2026-10-13T18:28:56Z</dcterms:created>
  <dc:creator>openpyxl</dc:creator>
  <dc:description/>
  <dc:language>en-US</dc:language>
  <cp:lastModifiedBy/>
  <dcterms:modified xsi:type="dcterms:W3CDTF">2026-10-13T18:28:56Z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